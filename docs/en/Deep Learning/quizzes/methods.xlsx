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imon\האחסון שלי (sciesoft1@gmail.com)\My work\AGI course\Brauda\"/>
    </mc:Choice>
  </mc:AlternateContent>
  <xr:revisionPtr revIDLastSave="0" documentId="13_ncr:1_{D6429950-3D0D-4979-8A94-3B3AF725E4F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-means" sheetId="1" r:id="rId1"/>
    <sheet name="EM(GMM)" sheetId="2" r:id="rId2"/>
    <sheet name="1D lin regr" sheetId="3" r:id="rId3"/>
    <sheet name="perceptron (lin classifier)" sheetId="4" r:id="rId4"/>
    <sheet name="Naïve Bay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K11" i="5"/>
  <c r="L11" i="5"/>
  <c r="M11" i="5" s="1"/>
  <c r="K10" i="5"/>
  <c r="L10" i="5"/>
  <c r="J10" i="5"/>
  <c r="M10" i="5"/>
  <c r="M5" i="5"/>
  <c r="M4" i="5"/>
  <c r="C11" i="5"/>
  <c r="D11" i="5"/>
  <c r="G11" i="5" s="1"/>
  <c r="E11" i="5"/>
  <c r="F11" i="5"/>
  <c r="D10" i="5"/>
  <c r="E10" i="5"/>
  <c r="F10" i="5"/>
  <c r="C10" i="5"/>
  <c r="G10" i="5"/>
  <c r="G5" i="5"/>
  <c r="G4" i="5"/>
  <c r="B13" i="4"/>
  <c r="C13" i="4"/>
  <c r="C17" i="4" s="1"/>
  <c r="C21" i="4" s="1"/>
  <c r="C25" i="4" s="1"/>
  <c r="C29" i="4" s="1"/>
  <c r="D13" i="4"/>
  <c r="D17" i="4" s="1"/>
  <c r="D21" i="4" s="1"/>
  <c r="D25" i="4" s="1"/>
  <c r="B14" i="4"/>
  <c r="B18" i="4" s="1"/>
  <c r="B22" i="4" s="1"/>
  <c r="B26" i="4" s="1"/>
  <c r="B30" i="4" s="1"/>
  <c r="C14" i="4"/>
  <c r="C18" i="4" s="1"/>
  <c r="C22" i="4" s="1"/>
  <c r="C26" i="4" s="1"/>
  <c r="C30" i="4" s="1"/>
  <c r="D14" i="4"/>
  <c r="D18" i="4" s="1"/>
  <c r="D22" i="4" s="1"/>
  <c r="D26" i="4" s="1"/>
  <c r="D30" i="4" s="1"/>
  <c r="B15" i="4"/>
  <c r="B19" i="4" s="1"/>
  <c r="B23" i="4" s="1"/>
  <c r="B27" i="4" s="1"/>
  <c r="C15" i="4"/>
  <c r="C19" i="4" s="1"/>
  <c r="C23" i="4" s="1"/>
  <c r="C27" i="4" s="1"/>
  <c r="D15" i="4"/>
  <c r="B17" i="4"/>
  <c r="B21" i="4" s="1"/>
  <c r="B25" i="4" s="1"/>
  <c r="B29" i="4" s="1"/>
  <c r="D19" i="4"/>
  <c r="D23" i="4" s="1"/>
  <c r="D27" i="4" s="1"/>
  <c r="C12" i="4"/>
  <c r="C16" i="4" s="1"/>
  <c r="C20" i="4" s="1"/>
  <c r="C24" i="4" s="1"/>
  <c r="C28" i="4" s="1"/>
  <c r="D12" i="4"/>
  <c r="D16" i="4" s="1"/>
  <c r="D20" i="4" s="1"/>
  <c r="D24" i="4" s="1"/>
  <c r="D28" i="4" s="1"/>
  <c r="B12" i="4"/>
  <c r="B16" i="4" s="1"/>
  <c r="B20" i="4" s="1"/>
  <c r="B24" i="4" s="1"/>
  <c r="B28" i="4" s="1"/>
  <c r="E8" i="4"/>
  <c r="F8" i="4" s="1"/>
  <c r="H8" i="4" s="1"/>
  <c r="G14" i="3"/>
  <c r="K6" i="3"/>
  <c r="E5" i="3" s="1"/>
  <c r="F5" i="3" s="1"/>
  <c r="J6" i="3"/>
  <c r="D4" i="3" s="1"/>
  <c r="G4" i="3" s="1"/>
  <c r="D8" i="2"/>
  <c r="F8" i="2" s="1"/>
  <c r="C10" i="2"/>
  <c r="E10" i="2" s="1"/>
  <c r="G8" i="1"/>
  <c r="F10" i="1"/>
  <c r="D29" i="4" l="1"/>
  <c r="I8" i="4"/>
  <c r="G8" i="4"/>
  <c r="E6" i="3"/>
  <c r="F6" i="3" s="1"/>
  <c r="E4" i="3"/>
  <c r="F4" i="3" s="1"/>
  <c r="F14" i="3" s="1"/>
  <c r="J8" i="3" s="1"/>
  <c r="D6" i="3"/>
  <c r="G6" i="3" s="1"/>
  <c r="D5" i="3"/>
  <c r="G5" i="3" s="1"/>
  <c r="C9" i="2"/>
  <c r="E9" i="2" s="1"/>
  <c r="C8" i="2"/>
  <c r="D9" i="2"/>
  <c r="C7" i="2"/>
  <c r="E7" i="2" s="1"/>
  <c r="D7" i="2"/>
  <c r="F7" i="2" s="1"/>
  <c r="D15" i="2" s="1"/>
  <c r="D10" i="2"/>
  <c r="F7" i="1"/>
  <c r="G11" i="1"/>
  <c r="F9" i="1"/>
  <c r="F8" i="1"/>
  <c r="H8" i="1" s="1"/>
  <c r="G7" i="1"/>
  <c r="G12" i="1"/>
  <c r="F12" i="1"/>
  <c r="G10" i="1"/>
  <c r="H10" i="1" s="1"/>
  <c r="F11" i="1"/>
  <c r="G9" i="1"/>
  <c r="F9" i="2" l="1"/>
  <c r="D17" i="2" s="1"/>
  <c r="F17" i="2" s="1"/>
  <c r="C15" i="2"/>
  <c r="E15" i="2" s="1"/>
  <c r="F10" i="2"/>
  <c r="E8" i="2"/>
  <c r="E9" i="4"/>
  <c r="F9" i="4"/>
  <c r="I9" i="4" s="1"/>
  <c r="J9" i="3"/>
  <c r="H5" i="3" s="1"/>
  <c r="H11" i="1"/>
  <c r="H9" i="1"/>
  <c r="H12" i="1"/>
  <c r="H7" i="1"/>
  <c r="D16" i="1"/>
  <c r="C16" i="1"/>
  <c r="C15" i="1"/>
  <c r="D15" i="1"/>
  <c r="C17" i="2" l="1"/>
  <c r="E17" i="2" s="1"/>
  <c r="C16" i="2"/>
  <c r="E16" i="2" s="1"/>
  <c r="D16" i="2"/>
  <c r="F16" i="2" s="1"/>
  <c r="D18" i="2"/>
  <c r="F18" i="2" s="1"/>
  <c r="C18" i="2"/>
  <c r="E18" i="2" s="1"/>
  <c r="G9" i="4"/>
  <c r="H9" i="4"/>
  <c r="H6" i="3"/>
  <c r="H4" i="3"/>
  <c r="F15" i="2"/>
  <c r="E19" i="2" l="1"/>
  <c r="C23" i="2" s="1"/>
  <c r="C22" i="2"/>
  <c r="F19" i="2"/>
  <c r="D22" i="2"/>
  <c r="E22" i="2" s="1"/>
  <c r="C26" i="2" s="1"/>
  <c r="E10" i="4"/>
  <c r="F10" i="4" s="1"/>
  <c r="G15" i="2" l="1"/>
  <c r="G19" i="2" s="1"/>
  <c r="C24" i="2" s="1"/>
  <c r="C25" i="2" s="1"/>
  <c r="G18" i="2"/>
  <c r="G17" i="2"/>
  <c r="G16" i="2"/>
  <c r="D23" i="2"/>
  <c r="D26" i="2"/>
  <c r="H10" i="4"/>
  <c r="I10" i="4"/>
  <c r="G10" i="4"/>
  <c r="H17" i="2" l="1"/>
  <c r="H16" i="2"/>
  <c r="H15" i="2"/>
  <c r="H18" i="2"/>
  <c r="E11" i="4"/>
  <c r="F11" i="4" s="1"/>
  <c r="H19" i="2" l="1"/>
  <c r="D24" i="2" s="1"/>
  <c r="D25" i="2" s="1"/>
  <c r="H11" i="4"/>
  <c r="I11" i="4"/>
  <c r="G11" i="4"/>
  <c r="E12" i="4" l="1"/>
  <c r="F12" i="4" s="1"/>
  <c r="H12" i="4" l="1"/>
  <c r="I12" i="4"/>
  <c r="G12" i="4"/>
  <c r="E13" i="4" l="1"/>
  <c r="F13" i="4" s="1"/>
  <c r="I13" i="4" s="1"/>
  <c r="G13" i="4"/>
  <c r="H13" i="4"/>
  <c r="E14" i="4" l="1"/>
  <c r="F14" i="4" s="1"/>
  <c r="G14" i="4" l="1"/>
  <c r="H14" i="4"/>
  <c r="I14" i="4"/>
  <c r="E15" i="4" l="1"/>
  <c r="F15" i="4" s="1"/>
  <c r="H15" i="4" l="1"/>
  <c r="I15" i="4"/>
  <c r="G15" i="4"/>
  <c r="E16" i="4" l="1"/>
  <c r="F16" i="4" s="1"/>
  <c r="G16" i="4" s="1"/>
  <c r="H16" i="4" l="1"/>
  <c r="E17" i="4" s="1"/>
  <c r="F17" i="4" s="1"/>
  <c r="I16" i="4"/>
  <c r="I17" i="4" l="1"/>
  <c r="G17" i="4"/>
  <c r="H17" i="4"/>
  <c r="E18" i="4" l="1"/>
  <c r="F18" i="4" s="1"/>
  <c r="H18" i="4" l="1"/>
  <c r="G18" i="4"/>
  <c r="I18" i="4"/>
  <c r="E19" i="4" l="1"/>
  <c r="F19" i="4" s="1"/>
  <c r="G19" i="4" l="1"/>
  <c r="H19" i="4"/>
  <c r="I19" i="4"/>
  <c r="E20" i="4" l="1"/>
  <c r="F20" i="4" s="1"/>
  <c r="I20" i="4" l="1"/>
  <c r="H20" i="4"/>
  <c r="G20" i="4"/>
  <c r="E21" i="4" s="1"/>
  <c r="F21" i="4" s="1"/>
  <c r="H21" i="4" l="1"/>
  <c r="I21" i="4"/>
  <c r="G21" i="4"/>
  <c r="E22" i="4" s="1"/>
  <c r="F22" i="4" s="1"/>
  <c r="G22" i="4" l="1"/>
  <c r="H22" i="4"/>
  <c r="I22" i="4"/>
  <c r="E23" i="4" l="1"/>
  <c r="F23" i="4" s="1"/>
  <c r="I23" i="4" l="1"/>
  <c r="G23" i="4"/>
  <c r="H23" i="4"/>
  <c r="E24" i="4" l="1"/>
  <c r="F24" i="4" s="1"/>
  <c r="I24" i="4" l="1"/>
  <c r="G24" i="4"/>
  <c r="H24" i="4"/>
  <c r="E25" i="4" l="1"/>
  <c r="F25" i="4" s="1"/>
  <c r="H25" i="4" l="1"/>
  <c r="G25" i="4"/>
  <c r="I25" i="4"/>
  <c r="E26" i="4" l="1"/>
  <c r="F26" i="4" s="1"/>
  <c r="H26" i="4" l="1"/>
  <c r="I26" i="4"/>
  <c r="G26" i="4"/>
  <c r="E27" i="4" l="1"/>
  <c r="F27" i="4" s="1"/>
  <c r="H27" i="4" l="1"/>
  <c r="I27" i="4"/>
  <c r="G27" i="4"/>
  <c r="E28" i="4" l="1"/>
  <c r="F28" i="4" s="1"/>
  <c r="G28" i="4" s="1"/>
  <c r="H28" i="4" l="1"/>
  <c r="I28" i="4"/>
  <c r="E29" i="4" l="1"/>
  <c r="F29" i="4" s="1"/>
  <c r="H29" i="4"/>
  <c r="I29" i="4"/>
  <c r="G29" i="4"/>
  <c r="E30" i="4" l="1"/>
  <c r="F30" i="4" s="1"/>
  <c r="I30" i="4" s="1"/>
  <c r="H30" i="4"/>
  <c r="G30" i="4" l="1"/>
</calcChain>
</file>

<file path=xl/sharedStrings.xml><?xml version="1.0" encoding="utf-8"?>
<sst xmlns="http://schemas.openxmlformats.org/spreadsheetml/2006/main" count="104" uniqueCount="66">
  <si>
    <t>Point</t>
  </si>
  <si>
    <t>A</t>
  </si>
  <si>
    <t>B</t>
  </si>
  <si>
    <t>C</t>
  </si>
  <si>
    <t>D</t>
  </si>
  <si>
    <t>E</t>
  </si>
  <si>
    <t>F</t>
  </si>
  <si>
    <t>C1</t>
  </si>
  <si>
    <t>x</t>
  </si>
  <si>
    <t>y</t>
  </si>
  <si>
    <t>C2</t>
  </si>
  <si>
    <t>d to C1</t>
  </si>
  <si>
    <t>d to C2</t>
  </si>
  <si>
    <t>Closer to</t>
  </si>
  <si>
    <t>new C1</t>
  </si>
  <si>
    <t>new C2</t>
  </si>
  <si>
    <t>m</t>
  </si>
  <si>
    <t>s</t>
  </si>
  <si>
    <t>w</t>
  </si>
  <si>
    <t>r1</t>
  </si>
  <si>
    <t>r2</t>
  </si>
  <si>
    <t>Normalize:</t>
  </si>
  <si>
    <t>N</t>
  </si>
  <si>
    <t>M-step (new)</t>
  </si>
  <si>
    <t>r1*x</t>
  </si>
  <si>
    <t>r2*x</t>
  </si>
  <si>
    <r>
      <t>r1*(x-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_new)^2</t>
    </r>
  </si>
  <si>
    <t>s2</t>
  </si>
  <si>
    <r>
      <t>r2*(x-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_new)^2</t>
    </r>
  </si>
  <si>
    <t>1 step</t>
  </si>
  <si>
    <t>2 step</t>
  </si>
  <si>
    <t>3 step</t>
  </si>
  <si>
    <t>average</t>
  </si>
  <si>
    <t>b</t>
  </si>
  <si>
    <t>x-avg(x)</t>
  </si>
  <si>
    <t>y-avg(y)</t>
  </si>
  <si>
    <t>(x-avg(x))^2</t>
  </si>
  <si>
    <t>(x-avg(x)) *(y-avg(y))</t>
  </si>
  <si>
    <t>sum</t>
  </si>
  <si>
    <t>y_pred</t>
  </si>
  <si>
    <t>1D linear regression</t>
  </si>
  <si>
    <t>w*x+b</t>
  </si>
  <si>
    <t>y*(w*x+b)</t>
  </si>
  <si>
    <t>&lt;-initial</t>
  </si>
  <si>
    <t>w1</t>
  </si>
  <si>
    <t>w2</t>
  </si>
  <si>
    <t>x1</t>
  </si>
  <si>
    <t>x2</t>
  </si>
  <si>
    <t>iteration</t>
  </si>
  <si>
    <t>x1 Dear</t>
  </si>
  <si>
    <t>x2 Friend</t>
  </si>
  <si>
    <t>x3 Lunch</t>
  </si>
  <si>
    <t>x4 money</t>
  </si>
  <si>
    <t>y=Real</t>
  </si>
  <si>
    <t>y=Spam</t>
  </si>
  <si>
    <t>occurances</t>
  </si>
  <si>
    <t>probabilities</t>
  </si>
  <si>
    <t>x1 Sunny</t>
  </si>
  <si>
    <t>x2 OverCast</t>
  </si>
  <si>
    <t>x3 Rain</t>
  </si>
  <si>
    <t>y=Yes</t>
  </si>
  <si>
    <t>y=No</t>
  </si>
  <si>
    <t>N1</t>
  </si>
  <si>
    <t>N2</t>
  </si>
  <si>
    <t>w1*N1</t>
  </si>
  <si>
    <t>w2*N2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</si>
</sst>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2" borderId="0" xfId="0" applyFont="1" applyFill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'1D lin regr'!$C$3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'1D lin regr'!$B$4:$B$13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'1D lin regr'!$C$4:$C$13</c:f>
              <c:numCache>
                <c:formatCode>General</c:formatCode>
                <c:ptCount val="10"/>
                <c:pt idx="0">
                  <c:v>1.5</c:v>
                </c:pt>
                <c:pt idx="1">
                  <c:v>3.5</c:v>
                </c:pt>
                <c:pt idx="2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8B-4796-A7B2-2CCA91C3C97A}"/>
            </c:ext>
          </c:extLst>
        </c:ser>
        <c:ser>
          <c:idx val="1"/>
          <c:order val="1"/>
          <c:tx>
            <c:v>y_pred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548600174978128"/>
                  <c:y val="2.44666812481773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L"/>
                </a:p>
              </c:txPr>
            </c:trendlineLbl>
          </c:trendline>
          <c:xVal>
            <c:numRef>
              <c:f>'1D lin regr'!$B$4:$B$6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'1D lin regr'!$H$4:$H$6</c:f>
              <c:numCache>
                <c:formatCode>General</c:formatCode>
                <c:ptCount val="3"/>
                <c:pt idx="0">
                  <c:v>1.65</c:v>
                </c:pt>
                <c:pt idx="1">
                  <c:v>3.1999999999999997</c:v>
                </c:pt>
                <c:pt idx="2">
                  <c:v>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8B-4796-A7B2-2CCA91C3C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37088"/>
        <c:axId val="1561738960"/>
      </c:scatterChart>
      <c:valAx>
        <c:axId val="185623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561738960"/>
        <c:crosses val="autoZero"/>
        <c:crossBetween val="midCat"/>
      </c:valAx>
      <c:valAx>
        <c:axId val="15617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85623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1</xdr:row>
      <xdr:rowOff>50800</xdr:rowOff>
    </xdr:from>
    <xdr:to>
      <xdr:col>18</xdr:col>
      <xdr:colOff>485775</xdr:colOff>
      <xdr:row>15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3E8DF-0467-29C7-B4FE-27ABD26C1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6"/>
  <sheetViews>
    <sheetView workbookViewId="0">
      <selection activeCell="A17" sqref="A1:H17"/>
    </sheetView>
  </sheetViews>
  <sheetFormatPr defaultRowHeight="15" x14ac:dyDescent="0.25"/>
  <sheetData>
    <row r="1" spans="2:8" x14ac:dyDescent="0.25">
      <c r="C1" t="s">
        <v>8</v>
      </c>
      <c r="D1" t="s">
        <v>9</v>
      </c>
    </row>
    <row r="2" spans="2:8" x14ac:dyDescent="0.25">
      <c r="B2" t="s">
        <v>7</v>
      </c>
      <c r="C2">
        <v>1.25</v>
      </c>
      <c r="D2">
        <v>1.5</v>
      </c>
    </row>
    <row r="3" spans="2:8" x14ac:dyDescent="0.25">
      <c r="B3" t="s">
        <v>10</v>
      </c>
      <c r="C3">
        <v>4.125</v>
      </c>
      <c r="D3">
        <v>3.5</v>
      </c>
    </row>
    <row r="6" spans="2:8" x14ac:dyDescent="0.25">
      <c r="B6" t="s">
        <v>0</v>
      </c>
      <c r="C6" t="s">
        <v>8</v>
      </c>
      <c r="D6" t="s">
        <v>9</v>
      </c>
      <c r="F6" t="s">
        <v>11</v>
      </c>
      <c r="G6" t="s">
        <v>12</v>
      </c>
      <c r="H6" t="s">
        <v>13</v>
      </c>
    </row>
    <row r="7" spans="2:8" x14ac:dyDescent="0.25">
      <c r="B7" t="s">
        <v>1</v>
      </c>
      <c r="C7">
        <v>1</v>
      </c>
      <c r="D7">
        <v>1</v>
      </c>
      <c r="F7">
        <f>SQRT((C7-$C$2)^2+(D7-$D$2)^2)</f>
        <v>0.55901699437494745</v>
      </c>
      <c r="G7">
        <f>SQRT((C7-$C$3)^2+(D7-$D$3)^2)</f>
        <v>4.0019526483955303</v>
      </c>
      <c r="H7" t="str">
        <f>IF(F7&lt;G7,"C1","C2")</f>
        <v>C1</v>
      </c>
    </row>
    <row r="8" spans="2:8" x14ac:dyDescent="0.25">
      <c r="B8" t="s">
        <v>2</v>
      </c>
      <c r="C8">
        <v>1.5</v>
      </c>
      <c r="D8">
        <v>2</v>
      </c>
      <c r="F8">
        <f t="shared" ref="F8:F12" si="0">SQRT((C8-$C$2)^2+(D8-$D$2)^2)</f>
        <v>0.55901699437494745</v>
      </c>
      <c r="G8">
        <f t="shared" ref="G8:G12" si="1">SQRT((C8-$C$3)^2+(D8-$D$3)^2)</f>
        <v>3.0233466556119559</v>
      </c>
      <c r="H8" t="str">
        <f t="shared" ref="H8:H12" si="2">IF(F8&lt;G8,"C1","C2")</f>
        <v>C1</v>
      </c>
    </row>
    <row r="9" spans="2:8" x14ac:dyDescent="0.25">
      <c r="B9" t="s">
        <v>3</v>
      </c>
      <c r="C9">
        <v>3</v>
      </c>
      <c r="D9">
        <v>4</v>
      </c>
      <c r="F9">
        <f t="shared" si="0"/>
        <v>3.0516389039334255</v>
      </c>
      <c r="G9">
        <f t="shared" si="1"/>
        <v>1.231107225224513</v>
      </c>
      <c r="H9" t="str">
        <f t="shared" si="2"/>
        <v>C2</v>
      </c>
    </row>
    <row r="10" spans="2:8" x14ac:dyDescent="0.25">
      <c r="B10" t="s">
        <v>4</v>
      </c>
      <c r="C10">
        <v>6</v>
      </c>
      <c r="D10">
        <v>2</v>
      </c>
      <c r="F10">
        <f t="shared" si="0"/>
        <v>4.7762432936356998</v>
      </c>
      <c r="G10">
        <f t="shared" si="1"/>
        <v>2.4011715890373182</v>
      </c>
      <c r="H10" t="str">
        <f t="shared" si="2"/>
        <v>C2</v>
      </c>
    </row>
    <row r="11" spans="2:8" x14ac:dyDescent="0.25">
      <c r="B11" t="s">
        <v>5</v>
      </c>
      <c r="C11">
        <v>3.5</v>
      </c>
      <c r="D11">
        <v>5</v>
      </c>
      <c r="F11">
        <f t="shared" si="0"/>
        <v>4.1608292442733097</v>
      </c>
      <c r="G11">
        <f t="shared" si="1"/>
        <v>1.625</v>
      </c>
      <c r="H11" t="str">
        <f t="shared" si="2"/>
        <v>C2</v>
      </c>
    </row>
    <row r="12" spans="2:8" x14ac:dyDescent="0.25">
      <c r="B12" t="s">
        <v>6</v>
      </c>
      <c r="C12">
        <v>4</v>
      </c>
      <c r="D12">
        <v>3</v>
      </c>
      <c r="F12">
        <f t="shared" si="0"/>
        <v>3.1324910215354169</v>
      </c>
      <c r="G12">
        <f t="shared" si="1"/>
        <v>0.51538820320220757</v>
      </c>
      <c r="H12" t="str">
        <f t="shared" si="2"/>
        <v>C2</v>
      </c>
    </row>
    <row r="14" spans="2:8" x14ac:dyDescent="0.25">
      <c r="C14" t="s">
        <v>8</v>
      </c>
      <c r="D14" t="s">
        <v>9</v>
      </c>
    </row>
    <row r="15" spans="2:8" x14ac:dyDescent="0.25">
      <c r="B15" t="s">
        <v>14</v>
      </c>
      <c r="C15">
        <f>AVERAGEIF(H7:H12, "C1", C7:C12)</f>
        <v>1.25</v>
      </c>
      <c r="D15">
        <f>AVERAGEIF(H7:H12, "C1", D7:D12)</f>
        <v>1.5</v>
      </c>
    </row>
    <row r="16" spans="2:8" x14ac:dyDescent="0.25">
      <c r="B16" t="s">
        <v>15</v>
      </c>
      <c r="C16">
        <f>AVERAGEIF(H7:H12, "C2", C7:C12)</f>
        <v>4.125</v>
      </c>
      <c r="D16">
        <f>AVERAGEIF(H7:H12, "C2", D7:D12)</f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BA2E-9810-4443-9AB5-14364F7159E4}">
  <dimension ref="B1:J32"/>
  <sheetViews>
    <sheetView tabSelected="1" topLeftCell="A7" workbookViewId="0">
      <selection activeCell="C26" sqref="C26"/>
    </sheetView>
  </sheetViews>
  <sheetFormatPr defaultRowHeight="15" x14ac:dyDescent="0.25"/>
  <cols>
    <col min="3" max="4" width="11.85546875" bestFit="1" customWidth="1"/>
    <col min="7" max="7" width="15.7109375" customWidth="1"/>
    <col min="8" max="8" width="14.85546875" customWidth="1"/>
  </cols>
  <sheetData>
    <row r="1" spans="2:8" x14ac:dyDescent="0.25">
      <c r="C1" t="s">
        <v>7</v>
      </c>
      <c r="D1" t="s">
        <v>10</v>
      </c>
    </row>
    <row r="2" spans="2:8" x14ac:dyDescent="0.25">
      <c r="B2" s="2" t="s">
        <v>16</v>
      </c>
      <c r="C2">
        <v>1</v>
      </c>
      <c r="D2">
        <v>5</v>
      </c>
    </row>
    <row r="3" spans="2:8" x14ac:dyDescent="0.25">
      <c r="B3" s="3" t="s">
        <v>17</v>
      </c>
      <c r="C3">
        <v>1</v>
      </c>
      <c r="D3">
        <v>1</v>
      </c>
    </row>
    <row r="4" spans="2:8" x14ac:dyDescent="0.25">
      <c r="B4" s="4" t="s">
        <v>18</v>
      </c>
      <c r="C4">
        <v>0.5</v>
      </c>
      <c r="D4">
        <v>0.5</v>
      </c>
    </row>
    <row r="6" spans="2:8" x14ac:dyDescent="0.25">
      <c r="B6" t="s">
        <v>0</v>
      </c>
      <c r="C6" t="s">
        <v>62</v>
      </c>
      <c r="D6" t="s">
        <v>63</v>
      </c>
      <c r="E6" t="s">
        <v>64</v>
      </c>
      <c r="F6" t="s">
        <v>65</v>
      </c>
    </row>
    <row r="7" spans="2:8" x14ac:dyDescent="0.25">
      <c r="B7">
        <v>1</v>
      </c>
      <c r="C7">
        <f>1/(2*PI()*$C$3^2)*EXP(-((B7-$C$2)^2)/(2*$C$3^2))</f>
        <v>0.15915494309189535</v>
      </c>
      <c r="D7">
        <f>1/(2*PI()*$D$3^2)*EXP(-((B7-$D$2)^2)/(2*$D$3^2))</f>
        <v>5.3390535453281935E-5</v>
      </c>
      <c r="E7">
        <f>C7*C$4</f>
        <v>7.9577471545947673E-2</v>
      </c>
      <c r="F7">
        <f>D7*D$4</f>
        <v>2.6695267726640968E-5</v>
      </c>
    </row>
    <row r="8" spans="2:8" x14ac:dyDescent="0.25">
      <c r="B8">
        <v>2</v>
      </c>
      <c r="C8">
        <f t="shared" ref="C8:C10" si="0">1/(2*PI()*$C$3^2)*EXP(-((B8-$C$2)^2)/(2*$C$3^2))</f>
        <v>9.6532352630053914E-2</v>
      </c>
      <c r="D8">
        <f t="shared" ref="D8:D10" si="1">1/(2*PI()*$D$3^2)*EXP(-((B8-$D$2)^2)/(2*$D$3^2))</f>
        <v>1.7680517118520167E-3</v>
      </c>
      <c r="E8">
        <f t="shared" ref="E8:E10" si="2">C8*C$4</f>
        <v>4.8266176315026957E-2</v>
      </c>
      <c r="F8">
        <f t="shared" ref="F8:F10" si="3">D8*D$4</f>
        <v>8.8402585592600833E-4</v>
      </c>
    </row>
    <row r="9" spans="2:8" x14ac:dyDescent="0.25">
      <c r="B9">
        <v>5</v>
      </c>
      <c r="C9">
        <f t="shared" si="0"/>
        <v>5.3390535453281935E-5</v>
      </c>
      <c r="D9">
        <f t="shared" si="1"/>
        <v>0.15915494309189535</v>
      </c>
      <c r="E9">
        <f t="shared" si="2"/>
        <v>2.6695267726640968E-5</v>
      </c>
      <c r="F9">
        <f t="shared" si="3"/>
        <v>7.9577471545947673E-2</v>
      </c>
    </row>
    <row r="10" spans="2:8" x14ac:dyDescent="0.25">
      <c r="B10">
        <v>6</v>
      </c>
      <c r="C10">
        <f t="shared" si="0"/>
        <v>5.9311527352541211E-7</v>
      </c>
      <c r="D10">
        <f t="shared" si="1"/>
        <v>9.6532352630053914E-2</v>
      </c>
      <c r="E10">
        <f t="shared" si="2"/>
        <v>2.9655763676270606E-7</v>
      </c>
      <c r="F10">
        <f t="shared" si="3"/>
        <v>4.8266176315026957E-2</v>
      </c>
    </row>
    <row r="13" spans="2:8" x14ac:dyDescent="0.25">
      <c r="B13" t="s">
        <v>21</v>
      </c>
    </row>
    <row r="14" spans="2:8" x14ac:dyDescent="0.25">
      <c r="B14" t="s">
        <v>0</v>
      </c>
      <c r="C14" t="s">
        <v>19</v>
      </c>
      <c r="D14" t="s">
        <v>20</v>
      </c>
      <c r="E14" t="s">
        <v>24</v>
      </c>
      <c r="F14" t="s">
        <v>25</v>
      </c>
      <c r="G14" t="s">
        <v>26</v>
      </c>
      <c r="H14" t="s">
        <v>28</v>
      </c>
    </row>
    <row r="15" spans="2:8" x14ac:dyDescent="0.25">
      <c r="B15">
        <v>1</v>
      </c>
      <c r="C15">
        <f>E7/SUM(E7:F7)</f>
        <v>0.99966464986953352</v>
      </c>
      <c r="D15">
        <f>F7/SUM(E7:F7)</f>
        <v>3.3535013046647811E-4</v>
      </c>
      <c r="E15">
        <f>B15*C15</f>
        <v>0.99966464986953352</v>
      </c>
      <c r="F15">
        <f>B15*D15</f>
        <v>3.3535013046647811E-4</v>
      </c>
      <c r="G15">
        <f>C15*(B15-$C$23)^2</f>
        <v>0.2460856348888843</v>
      </c>
      <c r="H15">
        <f>D15*(B15-$D$23)^2</f>
        <v>6.6950172523373248E-3</v>
      </c>
    </row>
    <row r="16" spans="2:8" x14ac:dyDescent="0.25">
      <c r="B16">
        <v>2</v>
      </c>
      <c r="C16">
        <f t="shared" ref="C16:C18" si="4">E8/SUM(E8:F8)</f>
        <v>0.98201379003790845</v>
      </c>
      <c r="D16">
        <f t="shared" ref="D16:D18" si="5">F8/SUM(E8:F8)</f>
        <v>1.7986209962091559E-2</v>
      </c>
      <c r="E16">
        <f t="shared" ref="E16:E18" si="6">B16*C16</f>
        <v>1.9640275800758169</v>
      </c>
      <c r="F16">
        <f t="shared" ref="F16:F18" si="7">B16*D16</f>
        <v>3.5972419924183117E-2</v>
      </c>
      <c r="G16">
        <f t="shared" ref="G16:G18" si="8">C16*(B16-$C$23)^2</f>
        <v>0.2492954008401945</v>
      </c>
      <c r="H16">
        <f t="shared" ref="H16:H18" si="9">D16*(B16-$D$23)^2</f>
        <v>0.21633783668052325</v>
      </c>
    </row>
    <row r="17" spans="2:10" x14ac:dyDescent="0.25">
      <c r="B17">
        <v>5</v>
      </c>
      <c r="C17">
        <f t="shared" si="4"/>
        <v>3.3535013046647811E-4</v>
      </c>
      <c r="D17">
        <f t="shared" si="5"/>
        <v>0.99966464986953352</v>
      </c>
      <c r="E17">
        <f t="shared" si="6"/>
        <v>1.6767506523323907E-3</v>
      </c>
      <c r="F17">
        <f t="shared" si="7"/>
        <v>4.9983232493476679</v>
      </c>
      <c r="G17">
        <f t="shared" si="8"/>
        <v>4.1170737859475628E-3</v>
      </c>
      <c r="H17">
        <f t="shared" si="9"/>
        <v>0.21908000631534777</v>
      </c>
    </row>
    <row r="18" spans="2:10" x14ac:dyDescent="0.25">
      <c r="B18">
        <v>6</v>
      </c>
      <c r="C18">
        <f t="shared" si="4"/>
        <v>6.1441746022147182E-6</v>
      </c>
      <c r="D18">
        <f t="shared" si="5"/>
        <v>0.99999385582539779</v>
      </c>
      <c r="E18">
        <f t="shared" si="6"/>
        <v>3.6865047613288306E-5</v>
      </c>
      <c r="F18">
        <f t="shared" si="7"/>
        <v>5.9999631349523863</v>
      </c>
      <c r="G18">
        <f t="shared" si="8"/>
        <v>1.2463233474120124E-4</v>
      </c>
      <c r="H18">
        <f t="shared" si="9"/>
        <v>0.28287509404547362</v>
      </c>
    </row>
    <row r="19" spans="2:10" x14ac:dyDescent="0.25">
      <c r="E19">
        <f>SUM(E15:E18)</f>
        <v>2.9654058456452961</v>
      </c>
      <c r="F19">
        <f>SUM(F15:F18)</f>
        <v>11.034594154354703</v>
      </c>
      <c r="G19">
        <f t="shared" ref="G19:H19" si="10">SUM(G15:G18)</f>
        <v>0.49962274184976752</v>
      </c>
      <c r="H19">
        <f t="shared" si="10"/>
        <v>0.7249879542936819</v>
      </c>
    </row>
    <row r="21" spans="2:10" x14ac:dyDescent="0.25">
      <c r="B21" t="s">
        <v>23</v>
      </c>
    </row>
    <row r="22" spans="2:10" x14ac:dyDescent="0.25">
      <c r="B22" t="s">
        <v>22</v>
      </c>
      <c r="C22">
        <f>SUM(C15:C18)</f>
        <v>1.9820199342125107</v>
      </c>
      <c r="D22">
        <f>SUM(D15:D18)</f>
        <v>2.0179800657874893</v>
      </c>
      <c r="E22">
        <f>SUM(C22:D22)</f>
        <v>4</v>
      </c>
    </row>
    <row r="23" spans="2:10" x14ac:dyDescent="0.25">
      <c r="B23" s="2" t="s">
        <v>16</v>
      </c>
      <c r="C23">
        <f>E19/C22</f>
        <v>1.4961533910220237</v>
      </c>
      <c r="D23">
        <f>F19/D22</f>
        <v>5.4681383336899332</v>
      </c>
    </row>
    <row r="24" spans="2:10" x14ac:dyDescent="0.25">
      <c r="B24" s="1" t="s">
        <v>27</v>
      </c>
      <c r="C24">
        <f>G19/C22</f>
        <v>0.25207755644913626</v>
      </c>
      <c r="D24">
        <f>H19/D22</f>
        <v>0.35926418034796848</v>
      </c>
    </row>
    <row r="25" spans="2:10" x14ac:dyDescent="0.25">
      <c r="B25" s="3" t="s">
        <v>17</v>
      </c>
      <c r="C25">
        <f>SQRT(C24)</f>
        <v>0.50207325805019354</v>
      </c>
      <c r="D25">
        <f>SQRT(D24)</f>
        <v>0.59938650330814802</v>
      </c>
    </row>
    <row r="26" spans="2:10" x14ac:dyDescent="0.25">
      <c r="B26" s="5" t="s">
        <v>18</v>
      </c>
      <c r="C26">
        <f>C22/$E$22</f>
        <v>0.49550498355312766</v>
      </c>
      <c r="D26">
        <f>D22/$E$22</f>
        <v>0.50449501644687234</v>
      </c>
    </row>
    <row r="29" spans="2:10" x14ac:dyDescent="0.25">
      <c r="B29" t="s">
        <v>29</v>
      </c>
      <c r="E29" t="s">
        <v>30</v>
      </c>
      <c r="H29" t="s">
        <v>31</v>
      </c>
    </row>
    <row r="30" spans="2:10" x14ac:dyDescent="0.25">
      <c r="B30" s="2" t="s">
        <v>16</v>
      </c>
      <c r="C30">
        <v>1</v>
      </c>
      <c r="D30">
        <v>5</v>
      </c>
      <c r="E30" s="2" t="s">
        <v>16</v>
      </c>
      <c r="F30">
        <v>1.4961533910220237</v>
      </c>
      <c r="G30">
        <v>5.4681383336899332</v>
      </c>
      <c r="H30" s="2" t="s">
        <v>16</v>
      </c>
      <c r="I30">
        <v>1.4999999845030667</v>
      </c>
      <c r="J30">
        <v>5.4999998909012522</v>
      </c>
    </row>
    <row r="31" spans="2:10" x14ac:dyDescent="0.25">
      <c r="B31" s="3" t="s">
        <v>17</v>
      </c>
      <c r="C31">
        <v>1</v>
      </c>
      <c r="D31">
        <v>1</v>
      </c>
      <c r="E31" s="3" t="s">
        <v>17</v>
      </c>
      <c r="F31">
        <v>0.50207325805019354</v>
      </c>
      <c r="G31">
        <v>0.59938650330814802</v>
      </c>
      <c r="H31" s="3" t="s">
        <v>17</v>
      </c>
      <c r="I31">
        <v>0.50000000030815073</v>
      </c>
      <c r="J31">
        <v>0.50000037409896392</v>
      </c>
    </row>
    <row r="32" spans="2:10" x14ac:dyDescent="0.25">
      <c r="B32" s="5" t="s">
        <v>18</v>
      </c>
      <c r="C32">
        <v>0.5</v>
      </c>
      <c r="D32">
        <v>0.5</v>
      </c>
      <c r="E32" s="5" t="s">
        <v>18</v>
      </c>
      <c r="F32">
        <v>0.49550498355312766</v>
      </c>
      <c r="G32">
        <v>0.50449501644687234</v>
      </c>
      <c r="H32" s="5" t="s">
        <v>18</v>
      </c>
      <c r="I32">
        <v>0.49999998442553939</v>
      </c>
      <c r="J32">
        <v>0.50000001557446061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3609-DD9D-4D7D-B06C-8174170B3598}">
  <dimension ref="A1:K14"/>
  <sheetViews>
    <sheetView workbookViewId="0">
      <selection activeCell="B2" sqref="B2"/>
    </sheetView>
  </sheetViews>
  <sheetFormatPr defaultRowHeight="15" x14ac:dyDescent="0.25"/>
  <cols>
    <col min="6" max="6" width="10.140625" customWidth="1"/>
  </cols>
  <sheetData>
    <row r="1" spans="1:11" x14ac:dyDescent="0.25">
      <c r="B1" t="s">
        <v>40</v>
      </c>
    </row>
    <row r="3" spans="1:11" ht="45" x14ac:dyDescent="0.25">
      <c r="B3" t="s">
        <v>8</v>
      </c>
      <c r="C3" t="s">
        <v>9</v>
      </c>
      <c r="D3" t="s">
        <v>34</v>
      </c>
      <c r="E3" t="s">
        <v>35</v>
      </c>
      <c r="F3" s="6" t="s">
        <v>37</v>
      </c>
      <c r="G3" t="s">
        <v>36</v>
      </c>
      <c r="H3" t="s">
        <v>39</v>
      </c>
    </row>
    <row r="4" spans="1:11" x14ac:dyDescent="0.25">
      <c r="B4">
        <v>1</v>
      </c>
      <c r="C4">
        <v>1.5</v>
      </c>
      <c r="D4">
        <f>B4-$J$6</f>
        <v>-1</v>
      </c>
      <c r="E4">
        <f>C4-$K$6</f>
        <v>-1.6999999999999997</v>
      </c>
      <c r="F4">
        <f>D4*E4</f>
        <v>1.6999999999999997</v>
      </c>
      <c r="G4">
        <f>D4^2</f>
        <v>1</v>
      </c>
      <c r="H4">
        <f>$J$8*B4+$J$9</f>
        <v>1.65</v>
      </c>
    </row>
    <row r="5" spans="1:11" x14ac:dyDescent="0.25">
      <c r="B5">
        <v>2</v>
      </c>
      <c r="C5">
        <v>3.5</v>
      </c>
      <c r="D5">
        <f t="shared" ref="D5:D6" si="0">B5-$J$6</f>
        <v>0</v>
      </c>
      <c r="E5">
        <f t="shared" ref="E5:E6" si="1">C5-$K$6</f>
        <v>0.30000000000000027</v>
      </c>
      <c r="F5">
        <f t="shared" ref="F5:F6" si="2">D5*E5</f>
        <v>0</v>
      </c>
      <c r="G5">
        <f t="shared" ref="G5:G6" si="3">D5^2</f>
        <v>0</v>
      </c>
      <c r="H5">
        <f t="shared" ref="H5:H6" si="4">$J$8*B5+$J$9</f>
        <v>3.1999999999999997</v>
      </c>
      <c r="J5" t="s">
        <v>8</v>
      </c>
      <c r="K5" t="s">
        <v>9</v>
      </c>
    </row>
    <row r="6" spans="1:11" x14ac:dyDescent="0.25">
      <c r="B6">
        <v>3</v>
      </c>
      <c r="C6">
        <v>4.5999999999999996</v>
      </c>
      <c r="D6">
        <f t="shared" si="0"/>
        <v>1</v>
      </c>
      <c r="E6">
        <f t="shared" si="1"/>
        <v>1.4</v>
      </c>
      <c r="F6">
        <f t="shared" si="2"/>
        <v>1.4</v>
      </c>
      <c r="G6">
        <f t="shared" si="3"/>
        <v>1</v>
      </c>
      <c r="H6">
        <f t="shared" si="4"/>
        <v>4.75</v>
      </c>
      <c r="I6" t="s">
        <v>32</v>
      </c>
      <c r="J6">
        <f>AVERAGE(B4:B6)</f>
        <v>2</v>
      </c>
      <c r="K6">
        <f>AVERAGE(C4:C6)</f>
        <v>3.1999999999999997</v>
      </c>
    </row>
    <row r="8" spans="1:11" x14ac:dyDescent="0.25">
      <c r="I8" t="s">
        <v>18</v>
      </c>
      <c r="J8">
        <f>F14/G14</f>
        <v>1.5499999999999998</v>
      </c>
    </row>
    <row r="9" spans="1:11" x14ac:dyDescent="0.25">
      <c r="I9" t="s">
        <v>33</v>
      </c>
      <c r="J9">
        <f>K6-J8*J6</f>
        <v>0.10000000000000009</v>
      </c>
    </row>
    <row r="14" spans="1:11" x14ac:dyDescent="0.25">
      <c r="A14" t="s">
        <v>38</v>
      </c>
      <c r="F14">
        <f>SUM(F4:F13)</f>
        <v>3.0999999999999996</v>
      </c>
      <c r="G14">
        <f>SUM(G4:G13)</f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FE7D-7464-48AD-995C-B91906215890}">
  <dimension ref="A6:J31"/>
  <sheetViews>
    <sheetView workbookViewId="0">
      <selection activeCell="P21" sqref="P21"/>
    </sheetView>
  </sheetViews>
  <sheetFormatPr defaultRowHeight="15" x14ac:dyDescent="0.25"/>
  <sheetData>
    <row r="6" spans="1:10" x14ac:dyDescent="0.25">
      <c r="G6" t="s">
        <v>44</v>
      </c>
      <c r="H6" t="s">
        <v>45</v>
      </c>
      <c r="I6" t="s">
        <v>33</v>
      </c>
    </row>
    <row r="7" spans="1:10" ht="15.75" thickBot="1" x14ac:dyDescent="0.3">
      <c r="A7" t="s">
        <v>48</v>
      </c>
      <c r="B7" t="s">
        <v>46</v>
      </c>
      <c r="C7" t="s">
        <v>47</v>
      </c>
      <c r="D7" t="s">
        <v>9</v>
      </c>
      <c r="E7" t="s">
        <v>41</v>
      </c>
      <c r="F7" t="s">
        <v>42</v>
      </c>
      <c r="G7" s="15">
        <v>0</v>
      </c>
      <c r="H7" s="15">
        <v>0</v>
      </c>
      <c r="I7" s="15">
        <v>0</v>
      </c>
      <c r="J7" t="s">
        <v>43</v>
      </c>
    </row>
    <row r="8" spans="1:10" x14ac:dyDescent="0.25">
      <c r="A8" s="18">
        <v>1</v>
      </c>
      <c r="B8" s="7">
        <v>1</v>
      </c>
      <c r="C8" s="8">
        <v>1</v>
      </c>
      <c r="D8" s="9">
        <v>1</v>
      </c>
      <c r="E8">
        <f>G7*B8+C8*H7+I7</f>
        <v>0</v>
      </c>
      <c r="F8">
        <f>D8*E8</f>
        <v>0</v>
      </c>
      <c r="G8">
        <f>IF(F8&lt;=0,G7+D8*B8,G7)</f>
        <v>1</v>
      </c>
      <c r="H8">
        <f>IF(F8&lt;=0,H7+D8*C8,H7)</f>
        <v>1</v>
      </c>
      <c r="I8">
        <f>IF(F8&lt;=0,I7+D8,I7)</f>
        <v>1</v>
      </c>
    </row>
    <row r="9" spans="1:10" x14ac:dyDescent="0.25">
      <c r="A9" s="16"/>
      <c r="B9" s="10">
        <v>4</v>
      </c>
      <c r="C9">
        <v>1</v>
      </c>
      <c r="D9" s="11">
        <v>-1</v>
      </c>
      <c r="E9">
        <f t="shared" ref="E9:E11" si="0">G8*B9+C9*H8+I8</f>
        <v>6</v>
      </c>
      <c r="F9">
        <f t="shared" ref="F9:F11" si="1">D9*E9</f>
        <v>-6</v>
      </c>
      <c r="G9">
        <f t="shared" ref="G9:G11" si="2">IF(F9&lt;=0,G8+D9*B9,G8)</f>
        <v>-3</v>
      </c>
      <c r="H9">
        <f t="shared" ref="H9:H11" si="3">IF(F9&lt;=0,H8+D9*C9,H8)</f>
        <v>0</v>
      </c>
      <c r="I9">
        <f t="shared" ref="I9:I11" si="4">IF(F9&lt;=0,I8+D9,I8)</f>
        <v>0</v>
      </c>
    </row>
    <row r="10" spans="1:10" x14ac:dyDescent="0.25">
      <c r="A10" s="16"/>
      <c r="B10" s="10">
        <v>-1</v>
      </c>
      <c r="C10">
        <v>2</v>
      </c>
      <c r="D10" s="11">
        <v>1</v>
      </c>
      <c r="E10">
        <f t="shared" si="0"/>
        <v>3</v>
      </c>
      <c r="F10">
        <f t="shared" si="1"/>
        <v>3</v>
      </c>
      <c r="G10">
        <f t="shared" si="2"/>
        <v>-3</v>
      </c>
      <c r="H10">
        <f t="shared" si="3"/>
        <v>0</v>
      </c>
      <c r="I10">
        <f t="shared" si="4"/>
        <v>0</v>
      </c>
    </row>
    <row r="11" spans="1:10" ht="15.75" thickBot="1" x14ac:dyDescent="0.3">
      <c r="A11" s="16"/>
      <c r="B11" s="12">
        <v>-2</v>
      </c>
      <c r="C11" s="13">
        <v>-1</v>
      </c>
      <c r="D11" s="14">
        <v>-1</v>
      </c>
      <c r="E11">
        <f t="shared" si="0"/>
        <v>6</v>
      </c>
      <c r="F11">
        <f t="shared" si="1"/>
        <v>-6</v>
      </c>
      <c r="G11" s="15">
        <f t="shared" si="2"/>
        <v>-1</v>
      </c>
      <c r="H11" s="15">
        <f t="shared" si="3"/>
        <v>1</v>
      </c>
      <c r="I11" s="15">
        <f t="shared" si="4"/>
        <v>-1</v>
      </c>
    </row>
    <row r="12" spans="1:10" x14ac:dyDescent="0.25">
      <c r="A12" s="18">
        <v>2</v>
      </c>
      <c r="B12" s="7">
        <f>B8</f>
        <v>1</v>
      </c>
      <c r="C12" s="8">
        <f t="shared" ref="C12:D12" si="5">C8</f>
        <v>1</v>
      </c>
      <c r="D12" s="9">
        <f t="shared" si="5"/>
        <v>1</v>
      </c>
      <c r="E12">
        <f t="shared" ref="E12:E24" si="6">G11*B12+C12*H11+I11</f>
        <v>-1</v>
      </c>
      <c r="F12">
        <f t="shared" ref="F12:F24" si="7">D12*E12</f>
        <v>-1</v>
      </c>
      <c r="G12">
        <f t="shared" ref="G12:G24" si="8">IF(F12&lt;=0,G11+D12*B12,G11)</f>
        <v>0</v>
      </c>
      <c r="H12">
        <f t="shared" ref="H12:H24" si="9">IF(F12&lt;=0,H11+D12*C12,H11)</f>
        <v>2</v>
      </c>
      <c r="I12">
        <f t="shared" ref="I12:I24" si="10">IF(F12&lt;=0,I11+D12,I11)</f>
        <v>0</v>
      </c>
    </row>
    <row r="13" spans="1:10" x14ac:dyDescent="0.25">
      <c r="A13" s="16"/>
      <c r="B13" s="10">
        <f t="shared" ref="B13:D13" si="11">B9</f>
        <v>4</v>
      </c>
      <c r="C13">
        <f t="shared" si="11"/>
        <v>1</v>
      </c>
      <c r="D13" s="11">
        <f t="shared" si="11"/>
        <v>-1</v>
      </c>
      <c r="E13">
        <f t="shared" si="6"/>
        <v>2</v>
      </c>
      <c r="F13">
        <f t="shared" si="7"/>
        <v>-2</v>
      </c>
      <c r="G13">
        <f t="shared" si="8"/>
        <v>-4</v>
      </c>
      <c r="H13">
        <f t="shared" si="9"/>
        <v>1</v>
      </c>
      <c r="I13">
        <f t="shared" si="10"/>
        <v>-1</v>
      </c>
    </row>
    <row r="14" spans="1:10" x14ac:dyDescent="0.25">
      <c r="A14" s="16"/>
      <c r="B14" s="10">
        <f t="shared" ref="B14:D14" si="12">B10</f>
        <v>-1</v>
      </c>
      <c r="C14">
        <f t="shared" si="12"/>
        <v>2</v>
      </c>
      <c r="D14" s="11">
        <f t="shared" si="12"/>
        <v>1</v>
      </c>
      <c r="E14">
        <f t="shared" si="6"/>
        <v>5</v>
      </c>
      <c r="F14">
        <f t="shared" si="7"/>
        <v>5</v>
      </c>
      <c r="G14">
        <f t="shared" si="8"/>
        <v>-4</v>
      </c>
      <c r="H14">
        <f t="shared" si="9"/>
        <v>1</v>
      </c>
      <c r="I14">
        <f t="shared" si="10"/>
        <v>-1</v>
      </c>
    </row>
    <row r="15" spans="1:10" ht="15.75" thickBot="1" x14ac:dyDescent="0.3">
      <c r="A15" s="17"/>
      <c r="B15" s="12">
        <f t="shared" ref="B15:D15" si="13">B11</f>
        <v>-2</v>
      </c>
      <c r="C15" s="13">
        <f t="shared" si="13"/>
        <v>-1</v>
      </c>
      <c r="D15" s="14">
        <f t="shared" si="13"/>
        <v>-1</v>
      </c>
      <c r="E15">
        <f t="shared" si="6"/>
        <v>6</v>
      </c>
      <c r="F15">
        <f t="shared" si="7"/>
        <v>-6</v>
      </c>
      <c r="G15" s="15">
        <f t="shared" si="8"/>
        <v>-2</v>
      </c>
      <c r="H15" s="15">
        <f t="shared" si="9"/>
        <v>2</v>
      </c>
      <c r="I15" s="15">
        <f t="shared" si="10"/>
        <v>-2</v>
      </c>
    </row>
    <row r="16" spans="1:10" x14ac:dyDescent="0.25">
      <c r="A16" s="18">
        <v>3</v>
      </c>
      <c r="B16" s="7">
        <f t="shared" ref="B16:D16" si="14">B12</f>
        <v>1</v>
      </c>
      <c r="C16" s="8">
        <f t="shared" si="14"/>
        <v>1</v>
      </c>
      <c r="D16" s="9">
        <f t="shared" si="14"/>
        <v>1</v>
      </c>
      <c r="E16">
        <f t="shared" si="6"/>
        <v>-2</v>
      </c>
      <c r="F16">
        <f t="shared" si="7"/>
        <v>-2</v>
      </c>
      <c r="G16">
        <f t="shared" si="8"/>
        <v>-1</v>
      </c>
      <c r="H16">
        <f t="shared" si="9"/>
        <v>3</v>
      </c>
      <c r="I16">
        <f t="shared" si="10"/>
        <v>-1</v>
      </c>
    </row>
    <row r="17" spans="1:9" x14ac:dyDescent="0.25">
      <c r="A17" s="16"/>
      <c r="B17" s="10">
        <f t="shared" ref="B17:D17" si="15">B13</f>
        <v>4</v>
      </c>
      <c r="C17">
        <f t="shared" si="15"/>
        <v>1</v>
      </c>
      <c r="D17" s="11">
        <f t="shared" si="15"/>
        <v>-1</v>
      </c>
      <c r="E17">
        <f t="shared" si="6"/>
        <v>-2</v>
      </c>
      <c r="F17">
        <f t="shared" si="7"/>
        <v>2</v>
      </c>
      <c r="G17">
        <f t="shared" si="8"/>
        <v>-1</v>
      </c>
      <c r="H17">
        <f t="shared" si="9"/>
        <v>3</v>
      </c>
      <c r="I17">
        <f t="shared" si="10"/>
        <v>-1</v>
      </c>
    </row>
    <row r="18" spans="1:9" x14ac:dyDescent="0.25">
      <c r="A18" s="16"/>
      <c r="B18" s="10">
        <f t="shared" ref="B18:D18" si="16">B14</f>
        <v>-1</v>
      </c>
      <c r="C18">
        <f t="shared" si="16"/>
        <v>2</v>
      </c>
      <c r="D18" s="11">
        <f t="shared" si="16"/>
        <v>1</v>
      </c>
      <c r="E18">
        <f t="shared" si="6"/>
        <v>6</v>
      </c>
      <c r="F18">
        <f t="shared" si="7"/>
        <v>6</v>
      </c>
      <c r="G18">
        <f t="shared" si="8"/>
        <v>-1</v>
      </c>
      <c r="H18">
        <f t="shared" si="9"/>
        <v>3</v>
      </c>
      <c r="I18">
        <f t="shared" si="10"/>
        <v>-1</v>
      </c>
    </row>
    <row r="19" spans="1:9" ht="15.75" thickBot="1" x14ac:dyDescent="0.3">
      <c r="A19" s="17"/>
      <c r="B19" s="12">
        <f t="shared" ref="B19:D19" si="17">B15</f>
        <v>-2</v>
      </c>
      <c r="C19" s="13">
        <f t="shared" si="17"/>
        <v>-1</v>
      </c>
      <c r="D19" s="14">
        <f t="shared" si="17"/>
        <v>-1</v>
      </c>
      <c r="E19">
        <f t="shared" si="6"/>
        <v>-2</v>
      </c>
      <c r="F19">
        <f t="shared" si="7"/>
        <v>2</v>
      </c>
      <c r="G19" s="15">
        <f t="shared" si="8"/>
        <v>-1</v>
      </c>
      <c r="H19" s="15">
        <f t="shared" si="9"/>
        <v>3</v>
      </c>
      <c r="I19" s="15">
        <f t="shared" si="10"/>
        <v>-1</v>
      </c>
    </row>
    <row r="20" spans="1:9" x14ac:dyDescent="0.25">
      <c r="A20" s="18">
        <v>4</v>
      </c>
      <c r="B20" s="7">
        <f t="shared" ref="B20:D20" si="18">B16</f>
        <v>1</v>
      </c>
      <c r="C20" s="8">
        <f t="shared" si="18"/>
        <v>1</v>
      </c>
      <c r="D20" s="9">
        <f t="shared" si="18"/>
        <v>1</v>
      </c>
      <c r="E20">
        <f t="shared" si="6"/>
        <v>1</v>
      </c>
      <c r="F20">
        <f t="shared" si="7"/>
        <v>1</v>
      </c>
      <c r="G20">
        <f t="shared" si="8"/>
        <v>-1</v>
      </c>
      <c r="H20">
        <f t="shared" si="9"/>
        <v>3</v>
      </c>
      <c r="I20">
        <f t="shared" si="10"/>
        <v>-1</v>
      </c>
    </row>
    <row r="21" spans="1:9" x14ac:dyDescent="0.25">
      <c r="A21" s="16"/>
      <c r="B21" s="10">
        <f t="shared" ref="B21:D21" si="19">B17</f>
        <v>4</v>
      </c>
      <c r="C21">
        <f t="shared" si="19"/>
        <v>1</v>
      </c>
      <c r="D21" s="11">
        <f t="shared" si="19"/>
        <v>-1</v>
      </c>
      <c r="E21">
        <f t="shared" si="6"/>
        <v>-2</v>
      </c>
      <c r="F21">
        <f t="shared" si="7"/>
        <v>2</v>
      </c>
      <c r="G21">
        <f t="shared" si="8"/>
        <v>-1</v>
      </c>
      <c r="H21">
        <f t="shared" si="9"/>
        <v>3</v>
      </c>
      <c r="I21">
        <f t="shared" si="10"/>
        <v>-1</v>
      </c>
    </row>
    <row r="22" spans="1:9" x14ac:dyDescent="0.25">
      <c r="A22" s="16"/>
      <c r="B22" s="10">
        <f t="shared" ref="B22:D22" si="20">B18</f>
        <v>-1</v>
      </c>
      <c r="C22">
        <f t="shared" si="20"/>
        <v>2</v>
      </c>
      <c r="D22" s="11">
        <f t="shared" si="20"/>
        <v>1</v>
      </c>
      <c r="E22">
        <f t="shared" si="6"/>
        <v>6</v>
      </c>
      <c r="F22">
        <f t="shared" si="7"/>
        <v>6</v>
      </c>
      <c r="G22">
        <f t="shared" si="8"/>
        <v>-1</v>
      </c>
      <c r="H22">
        <f t="shared" si="9"/>
        <v>3</v>
      </c>
      <c r="I22">
        <f t="shared" si="10"/>
        <v>-1</v>
      </c>
    </row>
    <row r="23" spans="1:9" ht="15.75" thickBot="1" x14ac:dyDescent="0.3">
      <c r="A23" s="17"/>
      <c r="B23" s="12">
        <f t="shared" ref="B23:D23" si="21">B19</f>
        <v>-2</v>
      </c>
      <c r="C23" s="13">
        <f t="shared" si="21"/>
        <v>-1</v>
      </c>
      <c r="D23" s="14">
        <f t="shared" si="21"/>
        <v>-1</v>
      </c>
      <c r="E23">
        <f t="shared" si="6"/>
        <v>-2</v>
      </c>
      <c r="F23">
        <f t="shared" si="7"/>
        <v>2</v>
      </c>
      <c r="G23">
        <f t="shared" si="8"/>
        <v>-1</v>
      </c>
      <c r="H23">
        <f t="shared" si="9"/>
        <v>3</v>
      </c>
      <c r="I23">
        <f t="shared" si="10"/>
        <v>-1</v>
      </c>
    </row>
    <row r="24" spans="1:9" x14ac:dyDescent="0.25">
      <c r="A24" s="18">
        <v>5</v>
      </c>
      <c r="B24" s="7">
        <f t="shared" ref="B24:D24" si="22">B20</f>
        <v>1</v>
      </c>
      <c r="C24" s="8">
        <f t="shared" si="22"/>
        <v>1</v>
      </c>
      <c r="D24" s="9">
        <f t="shared" si="22"/>
        <v>1</v>
      </c>
      <c r="E24">
        <f t="shared" si="6"/>
        <v>1</v>
      </c>
      <c r="F24">
        <f t="shared" si="7"/>
        <v>1</v>
      </c>
      <c r="G24">
        <f t="shared" si="8"/>
        <v>-1</v>
      </c>
      <c r="H24">
        <f t="shared" si="9"/>
        <v>3</v>
      </c>
      <c r="I24">
        <f t="shared" si="10"/>
        <v>-1</v>
      </c>
    </row>
    <row r="25" spans="1:9" x14ac:dyDescent="0.25">
      <c r="A25" s="16"/>
      <c r="B25" s="10">
        <f t="shared" ref="B25:D25" si="23">B21</f>
        <v>4</v>
      </c>
      <c r="C25">
        <f t="shared" si="23"/>
        <v>1</v>
      </c>
      <c r="D25" s="11">
        <f t="shared" si="23"/>
        <v>-1</v>
      </c>
      <c r="E25">
        <f t="shared" ref="E25:E30" si="24">G24*B25+C25*H24+I24</f>
        <v>-2</v>
      </c>
      <c r="F25">
        <f t="shared" ref="F25:F30" si="25">D25*E25</f>
        <v>2</v>
      </c>
      <c r="G25">
        <f t="shared" ref="G25:G30" si="26">IF(F25&lt;=0,G24+D25*B25,G24)</f>
        <v>-1</v>
      </c>
      <c r="H25">
        <f t="shared" ref="H25:H30" si="27">IF(F25&lt;=0,H24+D25*C25,H24)</f>
        <v>3</v>
      </c>
      <c r="I25">
        <f t="shared" ref="I25:I30" si="28">IF(F25&lt;=0,I24+D25,I24)</f>
        <v>-1</v>
      </c>
    </row>
    <row r="26" spans="1:9" x14ac:dyDescent="0.25">
      <c r="A26" s="16"/>
      <c r="B26" s="10">
        <f t="shared" ref="B26:D26" si="29">B22</f>
        <v>-1</v>
      </c>
      <c r="C26">
        <f t="shared" si="29"/>
        <v>2</v>
      </c>
      <c r="D26" s="11">
        <f t="shared" si="29"/>
        <v>1</v>
      </c>
      <c r="E26">
        <f t="shared" si="24"/>
        <v>6</v>
      </c>
      <c r="F26">
        <f t="shared" si="25"/>
        <v>6</v>
      </c>
      <c r="G26">
        <f t="shared" si="26"/>
        <v>-1</v>
      </c>
      <c r="H26">
        <f t="shared" si="27"/>
        <v>3</v>
      </c>
      <c r="I26">
        <f t="shared" si="28"/>
        <v>-1</v>
      </c>
    </row>
    <row r="27" spans="1:9" ht="15.75" thickBot="1" x14ac:dyDescent="0.3">
      <c r="A27" s="17"/>
      <c r="B27" s="12">
        <f t="shared" ref="B27:D27" si="30">B23</f>
        <v>-2</v>
      </c>
      <c r="C27" s="13">
        <f t="shared" si="30"/>
        <v>-1</v>
      </c>
      <c r="D27" s="14">
        <f t="shared" si="30"/>
        <v>-1</v>
      </c>
      <c r="E27">
        <f t="shared" si="24"/>
        <v>-2</v>
      </c>
      <c r="F27">
        <f t="shared" si="25"/>
        <v>2</v>
      </c>
      <c r="G27">
        <f t="shared" si="26"/>
        <v>-1</v>
      </c>
      <c r="H27">
        <f t="shared" si="27"/>
        <v>3</v>
      </c>
      <c r="I27">
        <f t="shared" si="28"/>
        <v>-1</v>
      </c>
    </row>
    <row r="28" spans="1:9" x14ac:dyDescent="0.25">
      <c r="A28" s="16">
        <v>6</v>
      </c>
      <c r="B28">
        <f t="shared" ref="B28:D28" si="31">B24</f>
        <v>1</v>
      </c>
      <c r="C28">
        <f t="shared" si="31"/>
        <v>1</v>
      </c>
      <c r="D28">
        <f t="shared" si="31"/>
        <v>1</v>
      </c>
      <c r="E28">
        <f t="shared" si="24"/>
        <v>1</v>
      </c>
      <c r="F28">
        <f t="shared" si="25"/>
        <v>1</v>
      </c>
      <c r="G28">
        <f t="shared" si="26"/>
        <v>-1</v>
      </c>
      <c r="H28">
        <f t="shared" si="27"/>
        <v>3</v>
      </c>
      <c r="I28">
        <f t="shared" si="28"/>
        <v>-1</v>
      </c>
    </row>
    <row r="29" spans="1:9" x14ac:dyDescent="0.25">
      <c r="A29" s="16"/>
      <c r="B29">
        <f t="shared" ref="B29:D29" si="32">B25</f>
        <v>4</v>
      </c>
      <c r="C29">
        <f t="shared" si="32"/>
        <v>1</v>
      </c>
      <c r="D29">
        <f t="shared" si="32"/>
        <v>-1</v>
      </c>
      <c r="E29">
        <f t="shared" si="24"/>
        <v>-2</v>
      </c>
      <c r="F29">
        <f t="shared" si="25"/>
        <v>2</v>
      </c>
      <c r="G29">
        <f t="shared" si="26"/>
        <v>-1</v>
      </c>
      <c r="H29">
        <f t="shared" si="27"/>
        <v>3</v>
      </c>
      <c r="I29">
        <f t="shared" si="28"/>
        <v>-1</v>
      </c>
    </row>
    <row r="30" spans="1:9" x14ac:dyDescent="0.25">
      <c r="A30" s="16"/>
      <c r="B30">
        <f t="shared" ref="B30:D30" si="33">B26</f>
        <v>-1</v>
      </c>
      <c r="C30">
        <f t="shared" si="33"/>
        <v>2</v>
      </c>
      <c r="D30">
        <f t="shared" si="33"/>
        <v>1</v>
      </c>
      <c r="E30">
        <f t="shared" si="24"/>
        <v>6</v>
      </c>
      <c r="F30">
        <f t="shared" si="25"/>
        <v>6</v>
      </c>
      <c r="G30">
        <f t="shared" si="26"/>
        <v>-1</v>
      </c>
      <c r="H30">
        <f t="shared" si="27"/>
        <v>3</v>
      </c>
      <c r="I30">
        <f t="shared" si="28"/>
        <v>-1</v>
      </c>
    </row>
    <row r="31" spans="1:9" ht="15.75" thickBot="1" x14ac:dyDescent="0.3">
      <c r="A31" s="17"/>
    </row>
  </sheetData>
  <mergeCells count="6">
    <mergeCell ref="A28:A31"/>
    <mergeCell ref="A8:A11"/>
    <mergeCell ref="A12:A15"/>
    <mergeCell ref="A16:A19"/>
    <mergeCell ref="A20:A23"/>
    <mergeCell ref="A24:A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A9DE-D863-4F91-B33A-19FE15724695}">
  <dimension ref="B2:M11"/>
  <sheetViews>
    <sheetView workbookViewId="0">
      <selection activeCell="J10" sqref="J10"/>
    </sheetView>
  </sheetViews>
  <sheetFormatPr defaultRowHeight="15" x14ac:dyDescent="0.25"/>
  <sheetData>
    <row r="2" spans="2:13" x14ac:dyDescent="0.25">
      <c r="B2" t="s">
        <v>55</v>
      </c>
    </row>
    <row r="3" spans="2:13" x14ac:dyDescent="0.25">
      <c r="C3" t="s">
        <v>49</v>
      </c>
      <c r="D3" t="s">
        <v>50</v>
      </c>
      <c r="E3" t="s">
        <v>51</v>
      </c>
      <c r="F3" t="s">
        <v>52</v>
      </c>
      <c r="J3" t="s">
        <v>57</v>
      </c>
      <c r="K3" t="s">
        <v>58</v>
      </c>
      <c r="L3" t="s">
        <v>59</v>
      </c>
    </row>
    <row r="4" spans="2:13" x14ac:dyDescent="0.25">
      <c r="B4" t="s">
        <v>53</v>
      </c>
      <c r="C4">
        <v>8</v>
      </c>
      <c r="D4">
        <v>5</v>
      </c>
      <c r="E4">
        <v>3</v>
      </c>
      <c r="F4">
        <v>1</v>
      </c>
      <c r="G4">
        <f>SUM(C4:F4)</f>
        <v>17</v>
      </c>
      <c r="I4" t="s">
        <v>60</v>
      </c>
      <c r="J4">
        <v>0</v>
      </c>
      <c r="K4">
        <v>1</v>
      </c>
      <c r="L4">
        <v>1</v>
      </c>
      <c r="M4">
        <f>SUM(J4:L4)</f>
        <v>2</v>
      </c>
    </row>
    <row r="5" spans="2:13" x14ac:dyDescent="0.25">
      <c r="B5" t="s">
        <v>54</v>
      </c>
      <c r="C5">
        <v>2</v>
      </c>
      <c r="D5">
        <v>1</v>
      </c>
      <c r="E5">
        <v>0</v>
      </c>
      <c r="F5">
        <v>4</v>
      </c>
      <c r="G5">
        <f>SUM(C5:F5)</f>
        <v>7</v>
      </c>
      <c r="I5" t="s">
        <v>61</v>
      </c>
      <c r="J5">
        <v>2</v>
      </c>
      <c r="K5">
        <v>0</v>
      </c>
      <c r="L5">
        <v>0</v>
      </c>
      <c r="M5">
        <f>SUM(J5:L5)</f>
        <v>2</v>
      </c>
    </row>
    <row r="7" spans="2:13" x14ac:dyDescent="0.25">
      <c r="B7" t="s">
        <v>56</v>
      </c>
    </row>
    <row r="9" spans="2:13" x14ac:dyDescent="0.25">
      <c r="C9" t="s">
        <v>49</v>
      </c>
      <c r="D9" t="s">
        <v>50</v>
      </c>
      <c r="E9" t="s">
        <v>51</v>
      </c>
      <c r="F9" t="s">
        <v>52</v>
      </c>
      <c r="J9" t="s">
        <v>57</v>
      </c>
      <c r="K9" t="s">
        <v>58</v>
      </c>
      <c r="L9" t="s">
        <v>59</v>
      </c>
    </row>
    <row r="10" spans="2:13" x14ac:dyDescent="0.25">
      <c r="B10" t="s">
        <v>53</v>
      </c>
      <c r="C10">
        <f>C4/$G4</f>
        <v>0.47058823529411764</v>
      </c>
      <c r="D10">
        <f t="shared" ref="D10:F11" si="0">D4/$G4</f>
        <v>0.29411764705882354</v>
      </c>
      <c r="E10">
        <f t="shared" si="0"/>
        <v>0.17647058823529413</v>
      </c>
      <c r="F10">
        <f t="shared" si="0"/>
        <v>5.8823529411764705E-2</v>
      </c>
      <c r="G10">
        <f>SUM(C10:F10)</f>
        <v>1</v>
      </c>
      <c r="I10" t="s">
        <v>60</v>
      </c>
      <c r="J10">
        <f>J4/$M4</f>
        <v>0</v>
      </c>
      <c r="K10">
        <f t="shared" ref="K10:L11" si="1">K4/$M4</f>
        <v>0.5</v>
      </c>
      <c r="L10">
        <f t="shared" si="1"/>
        <v>0.5</v>
      </c>
      <c r="M10">
        <f>SUM(J10:L10)</f>
        <v>1</v>
      </c>
    </row>
    <row r="11" spans="2:13" x14ac:dyDescent="0.25">
      <c r="B11" t="s">
        <v>54</v>
      </c>
      <c r="C11">
        <f>C5/$G5</f>
        <v>0.2857142857142857</v>
      </c>
      <c r="D11">
        <f t="shared" si="0"/>
        <v>0.14285714285714285</v>
      </c>
      <c r="E11">
        <f t="shared" si="0"/>
        <v>0</v>
      </c>
      <c r="F11">
        <f t="shared" si="0"/>
        <v>0.5714285714285714</v>
      </c>
      <c r="G11">
        <f>SUM(C11:F11)</f>
        <v>1</v>
      </c>
      <c r="I11" t="s">
        <v>61</v>
      </c>
      <c r="J11">
        <f>J5/$M5</f>
        <v>1</v>
      </c>
      <c r="K11">
        <f t="shared" si="1"/>
        <v>0</v>
      </c>
      <c r="L11">
        <f t="shared" si="1"/>
        <v>0</v>
      </c>
      <c r="M11">
        <f>SUM(J11:L11)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k-means</vt:lpstr>
      <vt:lpstr>EM(GMM)</vt:lpstr>
      <vt:lpstr>1D lin regr</vt:lpstr>
      <vt:lpstr>perceptron (lin classifier)</vt:lpstr>
      <vt:lpstr>Naïve Bayes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Shimon Komarovsky</dc:creator>
  <cp:lastModifiedBy>Shimon Komarovsky</cp:lastModifiedBy>
  <dcterms:created xsi:type="dcterms:W3CDTF">2015-06-05T18:17:20Z</dcterms:created>
  <dcterms:modified xsi:type="dcterms:W3CDTF">2025-11-19T12:26:25Z</dcterms:modified>
</cp:coreProperties>
</file>